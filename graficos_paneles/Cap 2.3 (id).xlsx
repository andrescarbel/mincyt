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Andres\02 Estudio\Avances de TESIS DOCTORAL\2025-10 Ucronías MINCyT\"/>
    </mc:Choice>
  </mc:AlternateContent>
  <xr:revisionPtr revIDLastSave="0" documentId="13_ncr:1_{CA0C017D-6FE4-414E-97BB-CD8A5173C943}" xr6:coauthVersionLast="47" xr6:coauthVersionMax="47" xr10:uidLastSave="{00000000-0000-0000-0000-000000000000}"/>
  <bookViews>
    <workbookView xWindow="1770" yWindow="1770" windowWidth="21600" windowHeight="11295" xr2:uid="{C3A4F063-E008-481A-B7FE-E152CCDDE316}"/>
  </bookViews>
  <sheets>
    <sheet name="Gráfic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" l="1"/>
  <c r="G27" i="1" s="1"/>
  <c r="G28" i="1" s="1"/>
  <c r="G29" i="1" s="1"/>
  <c r="G21" i="1"/>
  <c r="G22" i="1" s="1"/>
  <c r="G23" i="1" s="1"/>
  <c r="G24" i="1" s="1"/>
  <c r="J20" i="1"/>
  <c r="I20" i="1"/>
  <c r="J19" i="1"/>
  <c r="I19" i="1"/>
  <c r="J18" i="1"/>
  <c r="I18" i="1"/>
  <c r="J17" i="1"/>
  <c r="I17" i="1"/>
  <c r="J16" i="1"/>
  <c r="I16" i="1"/>
  <c r="F16" i="1"/>
  <c r="F17" i="1" s="1"/>
  <c r="F18" i="1" s="1"/>
  <c r="F19" i="1" s="1"/>
  <c r="E16" i="1"/>
  <c r="E17" i="1" s="1"/>
  <c r="E18" i="1" s="1"/>
  <c r="E19" i="1" s="1"/>
  <c r="J15" i="1"/>
  <c r="I15" i="1"/>
  <c r="J14" i="1"/>
  <c r="I14" i="1"/>
  <c r="J13" i="1"/>
  <c r="I13" i="1"/>
  <c r="E13" i="1"/>
  <c r="E14" i="1" s="1"/>
  <c r="J12" i="1"/>
  <c r="I12" i="1"/>
  <c r="F12" i="1"/>
  <c r="F13" i="1" s="1"/>
  <c r="F14" i="1" s="1"/>
  <c r="E12" i="1"/>
  <c r="J11" i="1"/>
  <c r="I11" i="1"/>
  <c r="D6" i="1"/>
  <c r="D7" i="1" s="1"/>
  <c r="D8" i="1" s="1"/>
  <c r="D9" i="1" s="1"/>
  <c r="H5" i="1"/>
  <c r="H6" i="1" s="1"/>
  <c r="H7" i="1" s="1"/>
  <c r="H8" i="1" s="1"/>
  <c r="H9" i="1" s="1"/>
</calcChain>
</file>

<file path=xl/sharedStrings.xml><?xml version="1.0" encoding="utf-8"?>
<sst xmlns="http://schemas.openxmlformats.org/spreadsheetml/2006/main" count="12" uniqueCount="12">
  <si>
    <t>Año</t>
  </si>
  <si>
    <t>Plan Bicentenario (total)</t>
  </si>
  <si>
    <t>Argentina Innovadora 2020 (A) (total)</t>
  </si>
  <si>
    <t>Argentina Innovadora 2020 (B) (total)</t>
  </si>
  <si>
    <t>PNCTI 2030 (total)</t>
  </si>
  <si>
    <t>Plan Bicentenario (pública)</t>
  </si>
  <si>
    <t>Argentina Innovadora 2020 (A) (pública)</t>
  </si>
  <si>
    <t>Argentina Innovadora 2020 (B) (pública)</t>
  </si>
  <si>
    <t>PNCTI 2030 (pública)</t>
  </si>
  <si>
    <t>Ley de Financiamiento (pública)</t>
  </si>
  <si>
    <t>I+D (total)</t>
  </si>
  <si>
    <t>I+D (pública)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</si>
</sst>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10" fontId="0" fillId="2" borderId="0" xfId="1" applyNumberFormat="1" applyFont="1" applyFill="1"/>
    <xf numFmtId="10" fontId="2" fillId="0" borderId="0" xfId="1" applyNumberFormat="1" applyFont="1"/>
    <xf numFmtId="10" fontId="0" fillId="0" borderId="0" xfId="1" applyNumberFormat="1" applyFont="1" applyFill="1"/>
  </cellXfs>
  <cellStyles count="2">
    <cellStyle name="Normal" xfId="0" builtinId="0"/>
    <cellStyle name="Porcentaje" xfId="1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B2324B"/>
      <color rgb="FF40619D"/>
      <color rgb="FF66B1CE"/>
      <color rgb="FF9031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200" b="1"/>
              <a:t>Gráfico 2.3:</a:t>
            </a:r>
            <a:r>
              <a:rPr lang="es-AR" sz="1200" b="1" baseline="0"/>
              <a:t> Proyección de inversión en I+D total y pública vs inversión ejecutada (como porcentaje del PBI, 2007-2032)</a:t>
            </a:r>
            <a:endParaRPr lang="es-AR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'Gráfico 2'!$B$1</c:f>
              <c:strCache>
                <c:ptCount val="1"/>
                <c:pt idx="0">
                  <c:v>I+D (total)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2'!$B$2:$B$32</c15:sqref>
                  </c15:fullRef>
                </c:ext>
              </c:extLst>
              <c:f>'Gráfico 2'!$B$7:$B$32</c:f>
              <c:numCache>
                <c:formatCode>0.00%</c:formatCode>
                <c:ptCount val="26"/>
                <c:pt idx="0">
                  <c:v>4.5999999999999999E-3</c:v>
                </c:pt>
                <c:pt idx="1">
                  <c:v>4.7000000000000002E-3</c:v>
                </c:pt>
                <c:pt idx="2">
                  <c:v>5.7999999999999996E-3</c:v>
                </c:pt>
                <c:pt idx="3">
                  <c:v>5.5999999999999999E-3</c:v>
                </c:pt>
                <c:pt idx="4">
                  <c:v>5.7000000000000002E-3</c:v>
                </c:pt>
                <c:pt idx="5">
                  <c:v>6.3E-3</c:v>
                </c:pt>
                <c:pt idx="6">
                  <c:v>6.1999999999999998E-3</c:v>
                </c:pt>
                <c:pt idx="7">
                  <c:v>5.8999999999999999E-3</c:v>
                </c:pt>
                <c:pt idx="8">
                  <c:v>6.1999999999999998E-3</c:v>
                </c:pt>
                <c:pt idx="9">
                  <c:v>5.5999999999999999E-3</c:v>
                </c:pt>
                <c:pt idx="10">
                  <c:v>5.5999999999999999E-3</c:v>
                </c:pt>
                <c:pt idx="11">
                  <c:v>4.8999999999999998E-3</c:v>
                </c:pt>
                <c:pt idx="12">
                  <c:v>4.7999999999999996E-3</c:v>
                </c:pt>
                <c:pt idx="13">
                  <c:v>5.4000000000000003E-3</c:v>
                </c:pt>
                <c:pt idx="14">
                  <c:v>5.1999999999999998E-3</c:v>
                </c:pt>
                <c:pt idx="15">
                  <c:v>5.4999999999999997E-3</c:v>
                </c:pt>
                <c:pt idx="16">
                  <c:v>6.0109999999999999E-3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B-4C4B-983E-3EC142B2158D}"/>
            </c:ext>
          </c:extLst>
        </c:ser>
        <c:ser>
          <c:idx val="2"/>
          <c:order val="1"/>
          <c:tx>
            <c:strRef>
              <c:f>'Gráfico 2'!$C$1</c:f>
              <c:strCache>
                <c:ptCount val="1"/>
                <c:pt idx="0">
                  <c:v>I+D (pública)</c:v>
                </c:pt>
              </c:strCache>
            </c:strRef>
          </c:tx>
          <c:spPr>
            <a:ln w="28575" cap="rnd" cmpd="dbl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2'!$C$2:$C$32</c15:sqref>
                  </c15:fullRef>
                </c:ext>
              </c:extLst>
              <c:f>'Gráfico 2'!$C$7:$C$32</c:f>
              <c:numCache>
                <c:formatCode>0.00%</c:formatCode>
                <c:ptCount val="26"/>
                <c:pt idx="0">
                  <c:v>3.0000000000000001E-3</c:v>
                </c:pt>
                <c:pt idx="1">
                  <c:v>3.3E-3</c:v>
                </c:pt>
                <c:pt idx="2">
                  <c:v>4.0999999999999995E-3</c:v>
                </c:pt>
                <c:pt idx="3">
                  <c:v>3.9000000000000003E-3</c:v>
                </c:pt>
                <c:pt idx="4">
                  <c:v>4.0000000000000001E-3</c:v>
                </c:pt>
                <c:pt idx="5">
                  <c:v>4.5999999999999999E-3</c:v>
                </c:pt>
                <c:pt idx="6">
                  <c:v>4.5000000000000005E-3</c:v>
                </c:pt>
                <c:pt idx="7">
                  <c:v>4.5999999999999999E-3</c:v>
                </c:pt>
                <c:pt idx="8">
                  <c:v>4.6999999999999993E-3</c:v>
                </c:pt>
                <c:pt idx="9">
                  <c:v>4.0000000000000001E-3</c:v>
                </c:pt>
                <c:pt idx="10">
                  <c:v>3.9000000000000003E-3</c:v>
                </c:pt>
                <c:pt idx="11">
                  <c:v>3.2000000000000002E-3</c:v>
                </c:pt>
                <c:pt idx="12">
                  <c:v>2.8999999999999998E-3</c:v>
                </c:pt>
                <c:pt idx="13">
                  <c:v>3.0999999999999999E-3</c:v>
                </c:pt>
                <c:pt idx="14">
                  <c:v>3.0000000000000001E-3</c:v>
                </c:pt>
                <c:pt idx="15">
                  <c:v>3.2000000000000002E-3</c:v>
                </c:pt>
                <c:pt idx="16">
                  <c:v>3.3E-3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B-4C4B-983E-3EC142B2158D}"/>
            </c:ext>
          </c:extLst>
        </c:ser>
        <c:ser>
          <c:idx val="4"/>
          <c:order val="3"/>
          <c:tx>
            <c:strRef>
              <c:f>'Gráfico 2'!$E$1</c:f>
              <c:strCache>
                <c:ptCount val="1"/>
                <c:pt idx="0">
                  <c:v>Argentina Innovadora 2020 (A) (total)</c:v>
                </c:pt>
              </c:strCache>
            </c:strRef>
          </c:tx>
          <c:spPr>
            <a:ln w="28575" cap="rnd">
              <a:solidFill>
                <a:srgbClr val="66B1CE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2'!$E$2:$E$32</c15:sqref>
                  </c15:fullRef>
                </c:ext>
              </c:extLst>
              <c:f>'Gráfico 2'!$E$7:$E$32</c:f>
              <c:numCache>
                <c:formatCode>0.00%</c:formatCode>
                <c:ptCount val="26"/>
                <c:pt idx="4">
                  <c:v>6.4999999999999997E-3</c:v>
                </c:pt>
                <c:pt idx="5">
                  <c:v>6.8499999999999993E-3</c:v>
                </c:pt>
                <c:pt idx="6">
                  <c:v>7.1999999999999989E-3</c:v>
                </c:pt>
                <c:pt idx="7">
                  <c:v>7.5499999999999986E-3</c:v>
                </c:pt>
                <c:pt idx="8">
                  <c:v>7.9000000000000008E-3</c:v>
                </c:pt>
                <c:pt idx="9">
                  <c:v>8.2000000000000007E-3</c:v>
                </c:pt>
                <c:pt idx="10">
                  <c:v>8.5000000000000006E-3</c:v>
                </c:pt>
                <c:pt idx="11">
                  <c:v>8.8000000000000005E-3</c:v>
                </c:pt>
                <c:pt idx="12">
                  <c:v>9.1000000000000004E-3</c:v>
                </c:pt>
                <c:pt idx="13">
                  <c:v>9.4000000000000004E-3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4B-4C4B-983E-3EC142B2158D}"/>
            </c:ext>
          </c:extLst>
        </c:ser>
        <c:ser>
          <c:idx val="5"/>
          <c:order val="4"/>
          <c:tx>
            <c:strRef>
              <c:f>'Gráfico 2'!$F$1</c:f>
              <c:strCache>
                <c:ptCount val="1"/>
                <c:pt idx="0">
                  <c:v>Argentina Innovadora 2020 (B) (total)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2'!$F$2:$F$32</c15:sqref>
                  </c15:fullRef>
                </c:ext>
              </c:extLst>
              <c:f>'Gráfico 2'!$F$7:$F$32</c:f>
              <c:numCache>
                <c:formatCode>0.00%</c:formatCode>
                <c:ptCount val="26"/>
                <c:pt idx="4">
                  <c:v>6.4999999999999997E-3</c:v>
                </c:pt>
                <c:pt idx="5">
                  <c:v>7.3999999999999995E-3</c:v>
                </c:pt>
                <c:pt idx="6">
                  <c:v>8.3000000000000001E-3</c:v>
                </c:pt>
                <c:pt idx="7">
                  <c:v>9.1999999999999998E-3</c:v>
                </c:pt>
                <c:pt idx="8">
                  <c:v>1.01E-2</c:v>
                </c:pt>
                <c:pt idx="9">
                  <c:v>1.1379999999999999E-2</c:v>
                </c:pt>
                <c:pt idx="10">
                  <c:v>1.2659999999999999E-2</c:v>
                </c:pt>
                <c:pt idx="11">
                  <c:v>1.3939999999999999E-2</c:v>
                </c:pt>
                <c:pt idx="12">
                  <c:v>1.5219999999999999E-2</c:v>
                </c:pt>
                <c:pt idx="13">
                  <c:v>1.6500000000000001E-2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4B-4C4B-983E-3EC142B2158D}"/>
            </c:ext>
          </c:extLst>
        </c:ser>
        <c:ser>
          <c:idx val="6"/>
          <c:order val="5"/>
          <c:tx>
            <c:strRef>
              <c:f>'Gráfico 2'!$G$1</c:f>
              <c:strCache>
                <c:ptCount val="1"/>
                <c:pt idx="0">
                  <c:v>PNCTI 2030 (total)</c:v>
                </c:pt>
              </c:strCache>
            </c:strRef>
          </c:tx>
          <c:spPr>
            <a:ln w="28575" cap="rnd">
              <a:solidFill>
                <a:srgbClr val="40619D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2'!$G$2:$G$32</c15:sqref>
                  </c15:fullRef>
                </c:ext>
              </c:extLst>
              <c:f>'Gráfico 2'!$G$7:$G$32</c:f>
              <c:numCache>
                <c:formatCode>0.00%</c:formatCode>
                <c:ptCount val="26"/>
                <c:pt idx="13">
                  <c:v>5.1999999999999998E-3</c:v>
                </c:pt>
                <c:pt idx="14">
                  <c:v>5.8599999999999998E-3</c:v>
                </c:pt>
                <c:pt idx="15">
                  <c:v>6.5199999999999998E-3</c:v>
                </c:pt>
                <c:pt idx="16">
                  <c:v>7.1799999999999998E-3</c:v>
                </c:pt>
                <c:pt idx="17">
                  <c:v>7.8399999999999997E-3</c:v>
                </c:pt>
                <c:pt idx="18">
                  <c:v>8.5000000000000006E-3</c:v>
                </c:pt>
                <c:pt idx="19">
                  <c:v>1.0200000000000001E-2</c:v>
                </c:pt>
                <c:pt idx="20">
                  <c:v>1.1900000000000001E-2</c:v>
                </c:pt>
                <c:pt idx="21">
                  <c:v>1.3600000000000001E-2</c:v>
                </c:pt>
                <c:pt idx="22">
                  <c:v>1.5300000000000001E-2</c:v>
                </c:pt>
                <c:pt idx="23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4B-4C4B-983E-3EC142B2158D}"/>
            </c:ext>
          </c:extLst>
        </c:ser>
        <c:ser>
          <c:idx val="8"/>
          <c:order val="7"/>
          <c:tx>
            <c:strRef>
              <c:f>'Gráfico 2'!$I$1</c:f>
              <c:strCache>
                <c:ptCount val="1"/>
                <c:pt idx="0">
                  <c:v>Argentina Innovadora 2020 (A) (pública)</c:v>
                </c:pt>
              </c:strCache>
            </c:strRef>
          </c:tx>
          <c:spPr>
            <a:ln w="28575" cap="rnd" cmpd="dbl">
              <a:solidFill>
                <a:srgbClr val="66B1CE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2'!$I$2:$I$32</c15:sqref>
                  </c15:fullRef>
                </c:ext>
              </c:extLst>
              <c:f>'Gráfico 2'!$I$7:$I$32</c:f>
              <c:numCache>
                <c:formatCode>0.00%</c:formatCode>
                <c:ptCount val="26"/>
                <c:pt idx="4">
                  <c:v>4.81E-3</c:v>
                </c:pt>
                <c:pt idx="5">
                  <c:v>5.0689999999999997E-3</c:v>
                </c:pt>
                <c:pt idx="6">
                  <c:v>5.3279999999999994E-3</c:v>
                </c:pt>
                <c:pt idx="7">
                  <c:v>5.587E-3</c:v>
                </c:pt>
                <c:pt idx="8">
                  <c:v>5.8460000000000005E-3</c:v>
                </c:pt>
                <c:pt idx="9">
                  <c:v>6.0679999999999987E-3</c:v>
                </c:pt>
                <c:pt idx="10">
                  <c:v>6.2900000000000005E-3</c:v>
                </c:pt>
                <c:pt idx="11">
                  <c:v>6.5120000000000004E-3</c:v>
                </c:pt>
                <c:pt idx="12">
                  <c:v>6.7340000000000004E-3</c:v>
                </c:pt>
                <c:pt idx="13">
                  <c:v>6.9559999999999986E-3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4B-4C4B-983E-3EC142B2158D}"/>
            </c:ext>
          </c:extLst>
        </c:ser>
        <c:ser>
          <c:idx val="9"/>
          <c:order val="8"/>
          <c:tx>
            <c:strRef>
              <c:f>'Gráfico 2'!$J$1</c:f>
              <c:strCache>
                <c:ptCount val="1"/>
                <c:pt idx="0">
                  <c:v>Argentina Innovadora 2020 (B) (pública)</c:v>
                </c:pt>
              </c:strCache>
            </c:strRef>
          </c:tx>
          <c:spPr>
            <a:ln w="28575" cap="rnd" cmpd="dbl">
              <a:solidFill>
                <a:schemeClr val="bg2">
                  <a:lumMod val="50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2'!$J$2:$J$32</c15:sqref>
                  </c15:fullRef>
                </c:ext>
              </c:extLst>
              <c:f>'Gráfico 2'!$J$7:$J$32</c:f>
              <c:numCache>
                <c:formatCode>0.00%</c:formatCode>
                <c:ptCount val="26"/>
                <c:pt idx="4">
                  <c:v>4.81E-3</c:v>
                </c:pt>
                <c:pt idx="5">
                  <c:v>5.2909999999999997E-3</c:v>
                </c:pt>
                <c:pt idx="6">
                  <c:v>5.7269999999999995E-3</c:v>
                </c:pt>
                <c:pt idx="7">
                  <c:v>6.1180000000000002E-3</c:v>
                </c:pt>
                <c:pt idx="8">
                  <c:v>6.4640000000000001E-3</c:v>
                </c:pt>
                <c:pt idx="9">
                  <c:v>6.9645599999999998E-3</c:v>
                </c:pt>
                <c:pt idx="10">
                  <c:v>7.3934399999999994E-3</c:v>
                </c:pt>
                <c:pt idx="11">
                  <c:v>7.7506399999999987E-3</c:v>
                </c:pt>
                <c:pt idx="12">
                  <c:v>8.0361599999999988E-3</c:v>
                </c:pt>
                <c:pt idx="13">
                  <c:v>8.2500000000000004E-3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4B-4C4B-983E-3EC142B2158D}"/>
            </c:ext>
          </c:extLst>
        </c:ser>
        <c:ser>
          <c:idx val="10"/>
          <c:order val="9"/>
          <c:tx>
            <c:strRef>
              <c:f>'Gráfico 2'!$K$1</c:f>
              <c:strCache>
                <c:ptCount val="1"/>
                <c:pt idx="0">
                  <c:v>PNCTI 2030 (pública)</c:v>
                </c:pt>
              </c:strCache>
            </c:strRef>
          </c:tx>
          <c:spPr>
            <a:ln w="28575" cap="rnd" cmpd="dbl">
              <a:solidFill>
                <a:srgbClr val="40619D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2'!$K$2:$K$32</c15:sqref>
                  </c15:fullRef>
                </c:ext>
              </c:extLst>
              <c:f>'Gráfico 2'!$K$7:$K$32</c:f>
              <c:numCache>
                <c:formatCode>0.00%</c:formatCode>
                <c:ptCount val="26"/>
                <c:pt idx="13">
                  <c:v>3.1000000000000008E-3</c:v>
                </c:pt>
                <c:pt idx="14">
                  <c:v>3.5200000000000006E-3</c:v>
                </c:pt>
                <c:pt idx="15">
                  <c:v>3.9400000000000008E-3</c:v>
                </c:pt>
                <c:pt idx="16">
                  <c:v>4.3600000000000002E-3</c:v>
                </c:pt>
                <c:pt idx="17">
                  <c:v>4.7799999999999995E-3</c:v>
                </c:pt>
                <c:pt idx="18">
                  <c:v>5.2000000000000006E-3</c:v>
                </c:pt>
                <c:pt idx="19">
                  <c:v>6.2400000000000008E-3</c:v>
                </c:pt>
                <c:pt idx="20">
                  <c:v>7.28E-3</c:v>
                </c:pt>
                <c:pt idx="21">
                  <c:v>8.320000000000001E-3</c:v>
                </c:pt>
                <c:pt idx="22">
                  <c:v>9.3600000000000003E-3</c:v>
                </c:pt>
                <c:pt idx="23">
                  <c:v>1.04E-2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4B-4C4B-983E-3EC142B2158D}"/>
            </c:ext>
          </c:extLst>
        </c:ser>
        <c:ser>
          <c:idx val="11"/>
          <c:order val="10"/>
          <c:tx>
            <c:strRef>
              <c:f>'Gráfico 2'!$L$1</c:f>
              <c:strCache>
                <c:ptCount val="1"/>
                <c:pt idx="0">
                  <c:v>Ley de Financiamiento (pública)</c:v>
                </c:pt>
              </c:strCache>
            </c:strRef>
          </c:tx>
          <c:spPr>
            <a:ln w="28575" cap="rnd" cmpd="dbl">
              <a:solidFill>
                <a:srgbClr val="B2324B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'Gráfico 2'!$A$2:$A$32</c15:sqref>
                  </c15:fullRef>
                </c:ext>
              </c:extLst>
              <c:f>'Gráfico 2'!$A$7:$A$32</c:f>
              <c:numCache>
                <c:formatCode>General</c:formatCode>
                <c:ptCount val="2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2'!$L$2:$L$32</c15:sqref>
                  </c15:fullRef>
                </c:ext>
              </c:extLst>
              <c:f>'Gráfico 2'!$L$7:$L$32</c:f>
              <c:numCache>
                <c:formatCode>0.00%</c:formatCode>
                <c:ptCount val="26"/>
                <c:pt idx="14">
                  <c:v>2.8E-3</c:v>
                </c:pt>
                <c:pt idx="15">
                  <c:v>3.0999999999999999E-3</c:v>
                </c:pt>
                <c:pt idx="16">
                  <c:v>3.3999999999999998E-3</c:v>
                </c:pt>
                <c:pt idx="17">
                  <c:v>3.8999999999999998E-3</c:v>
                </c:pt>
                <c:pt idx="18">
                  <c:v>4.4999999999999997E-3</c:v>
                </c:pt>
                <c:pt idx="19">
                  <c:v>5.1999999999999998E-3</c:v>
                </c:pt>
                <c:pt idx="20">
                  <c:v>5.8999999999999999E-3</c:v>
                </c:pt>
                <c:pt idx="21">
                  <c:v>6.7999999999999996E-3</c:v>
                </c:pt>
                <c:pt idx="22">
                  <c:v>7.7999999999999996E-3</c:v>
                </c:pt>
                <c:pt idx="23">
                  <c:v>8.9999999999999993E-3</c:v>
                </c:pt>
                <c:pt idx="24">
                  <c:v>9.4999999999999998E-3</c:v>
                </c:pt>
                <c:pt idx="25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4B-4C4B-983E-3EC142B21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85055"/>
        <c:axId val="469979231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'Gráfico 2'!$D$1</c15:sqref>
                        </c15:formulaRef>
                      </c:ext>
                    </c:extLst>
                    <c:strCache>
                      <c:ptCount val="1"/>
                      <c:pt idx="0">
                        <c:v>Plan Bicentenario (total)</c:v>
                      </c:pt>
                    </c:strCache>
                  </c:strRef>
                </c:tx>
                <c:spPr>
                  <a:ln w="28575" cap="rnd">
                    <a:solidFill>
                      <a:srgbClr val="903163"/>
                    </a:solidFill>
                    <a:prstDash val="lgDash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'Gráfico 2'!$A$2:$A$32</c15:sqref>
                        </c15:fullRef>
                        <c15:formulaRef>
                          <c15:sqref>'Gráfico 2'!$A$7:$A$32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2007</c:v>
                      </c:pt>
                      <c:pt idx="1">
                        <c:v>2008</c:v>
                      </c:pt>
                      <c:pt idx="2">
                        <c:v>2009</c:v>
                      </c:pt>
                      <c:pt idx="3">
                        <c:v>2010</c:v>
                      </c:pt>
                      <c:pt idx="4">
                        <c:v>2011</c:v>
                      </c:pt>
                      <c:pt idx="5">
                        <c:v>2012</c:v>
                      </c:pt>
                      <c:pt idx="6">
                        <c:v>2013</c:v>
                      </c:pt>
                      <c:pt idx="7">
                        <c:v>2014</c:v>
                      </c:pt>
                      <c:pt idx="8">
                        <c:v>2015</c:v>
                      </c:pt>
                      <c:pt idx="9">
                        <c:v>2016</c:v>
                      </c:pt>
                      <c:pt idx="10">
                        <c:v>2017</c:v>
                      </c:pt>
                      <c:pt idx="11">
                        <c:v>2018</c:v>
                      </c:pt>
                      <c:pt idx="12">
                        <c:v>2019</c:v>
                      </c:pt>
                      <c:pt idx="13">
                        <c:v>2020</c:v>
                      </c:pt>
                      <c:pt idx="14">
                        <c:v>2021</c:v>
                      </c:pt>
                      <c:pt idx="15">
                        <c:v>2022</c:v>
                      </c:pt>
                      <c:pt idx="16">
                        <c:v>2023</c:v>
                      </c:pt>
                      <c:pt idx="17">
                        <c:v>2024</c:v>
                      </c:pt>
                      <c:pt idx="18">
                        <c:v>2025</c:v>
                      </c:pt>
                      <c:pt idx="19">
                        <c:v>2026</c:v>
                      </c:pt>
                      <c:pt idx="20">
                        <c:v>2027</c:v>
                      </c:pt>
                      <c:pt idx="21">
                        <c:v>2028</c:v>
                      </c:pt>
                      <c:pt idx="22">
                        <c:v>2029</c:v>
                      </c:pt>
                      <c:pt idx="23">
                        <c:v>2030</c:v>
                      </c:pt>
                      <c:pt idx="24">
                        <c:v>2031</c:v>
                      </c:pt>
                      <c:pt idx="25">
                        <c:v>2032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'Gráfico 2'!$D$2:$D$32</c15:sqref>
                        </c15:fullRef>
                        <c15:formulaRef>
                          <c15:sqref>'Gráfico 2'!$D$7:$D$32</c15:sqref>
                        </c15:formulaRef>
                      </c:ext>
                    </c:extLst>
                    <c:numCache>
                      <c:formatCode>0.00%</c:formatCode>
                      <c:ptCount val="26"/>
                      <c:pt idx="0">
                        <c:v>7.2199999999999999E-3</c:v>
                      </c:pt>
                      <c:pt idx="1">
                        <c:v>8.1799999999999998E-3</c:v>
                      </c:pt>
                      <c:pt idx="2">
                        <c:v>9.1400000000000006E-3</c:v>
                      </c:pt>
                      <c:pt idx="3">
                        <c:v>1.01E-2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B4B-4C4B-983E-3EC142B2158D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'Gráfico 2'!$H$1</c15:sqref>
                        </c15:formulaRef>
                      </c:ext>
                    </c:extLst>
                    <c:strCache>
                      <c:ptCount val="1"/>
                      <c:pt idx="0">
                        <c:v>Plan Bicentenario (pública)</c:v>
                      </c:pt>
                    </c:strCache>
                  </c:strRef>
                </c:tx>
                <c:spPr>
                  <a:ln w="28575" cap="rnd" cmpd="dbl">
                    <a:solidFill>
                      <a:srgbClr val="903163"/>
                    </a:solidFill>
                    <a:prstDash val="lgDash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'Gráfico 2'!$A$2:$A$32</c15:sqref>
                        </c15:fullRef>
                        <c15:formulaRef>
                          <c15:sqref>'Gráfico 2'!$A$7:$A$32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2007</c:v>
                      </c:pt>
                      <c:pt idx="1">
                        <c:v>2008</c:v>
                      </c:pt>
                      <c:pt idx="2">
                        <c:v>2009</c:v>
                      </c:pt>
                      <c:pt idx="3">
                        <c:v>2010</c:v>
                      </c:pt>
                      <c:pt idx="4">
                        <c:v>2011</c:v>
                      </c:pt>
                      <c:pt idx="5">
                        <c:v>2012</c:v>
                      </c:pt>
                      <c:pt idx="6">
                        <c:v>2013</c:v>
                      </c:pt>
                      <c:pt idx="7">
                        <c:v>2014</c:v>
                      </c:pt>
                      <c:pt idx="8">
                        <c:v>2015</c:v>
                      </c:pt>
                      <c:pt idx="9">
                        <c:v>2016</c:v>
                      </c:pt>
                      <c:pt idx="10">
                        <c:v>2017</c:v>
                      </c:pt>
                      <c:pt idx="11">
                        <c:v>2018</c:v>
                      </c:pt>
                      <c:pt idx="12">
                        <c:v>2019</c:v>
                      </c:pt>
                      <c:pt idx="13">
                        <c:v>2020</c:v>
                      </c:pt>
                      <c:pt idx="14">
                        <c:v>2021</c:v>
                      </c:pt>
                      <c:pt idx="15">
                        <c:v>2022</c:v>
                      </c:pt>
                      <c:pt idx="16">
                        <c:v>2023</c:v>
                      </c:pt>
                      <c:pt idx="17">
                        <c:v>2024</c:v>
                      </c:pt>
                      <c:pt idx="18">
                        <c:v>2025</c:v>
                      </c:pt>
                      <c:pt idx="19">
                        <c:v>2026</c:v>
                      </c:pt>
                      <c:pt idx="20">
                        <c:v>2027</c:v>
                      </c:pt>
                      <c:pt idx="21">
                        <c:v>2028</c:v>
                      </c:pt>
                      <c:pt idx="22">
                        <c:v>2029</c:v>
                      </c:pt>
                      <c:pt idx="23">
                        <c:v>2030</c:v>
                      </c:pt>
                      <c:pt idx="24">
                        <c:v>2031</c:v>
                      </c:pt>
                      <c:pt idx="25">
                        <c:v>2032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'Gráfico 2'!$H$2:$H$32</c15:sqref>
                        </c15:fullRef>
                        <c15:formulaRef>
                          <c15:sqref>'Gráfico 2'!$H$7:$H$32</c15:sqref>
                        </c15:formulaRef>
                      </c:ext>
                    </c:extLst>
                    <c:numCache>
                      <c:formatCode>0.00%</c:formatCode>
                      <c:ptCount val="26"/>
                      <c:pt idx="0">
                        <c:v>3.3E-3</c:v>
                      </c:pt>
                      <c:pt idx="1">
                        <c:v>3.8E-3</c:v>
                      </c:pt>
                      <c:pt idx="2">
                        <c:v>4.3E-3</c:v>
                      </c:pt>
                      <c:pt idx="3">
                        <c:v>5.0499999999999998E-3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B4B-4C4B-983E-3EC142B2158D}"/>
                  </c:ext>
                </c:extLst>
              </c15:ser>
            </c15:filteredLineSeries>
          </c:ext>
        </c:extLst>
      </c:lineChart>
      <c:catAx>
        <c:axId val="46998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69979231"/>
        <c:crosses val="autoZero"/>
        <c:auto val="1"/>
        <c:lblAlgn val="ctr"/>
        <c:lblOffset val="100"/>
        <c:noMultiLvlLbl val="0"/>
      </c:catAx>
      <c:valAx>
        <c:axId val="46997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6998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367393</xdr:colOff>
      <xdr:row>1</xdr:row>
      <xdr:rowOff>81642</xdr:rowOff>
    </xdr:from>
    <xdr:to>
      <xdr:col>26</xdr:col>
      <xdr:colOff>672193</xdr:colOff>
      <xdr:row>32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1D9668-0753-407F-A954-84ADC697E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45F45-7E71-44DD-B8B0-A8F221716908}" name="Tabla4" displayName="Tabla4" ref="A1:L32" totalsRowShown="0" dataDxfId="8" dataCellStyle="Porcentaje">
  <autoFilter ref="A1:L32" xr:uid="{E1B45F45-7E71-44DD-B8B0-A8F221716908}"/>
  <tableColumns count="12">
    <tableColumn id="1" xr3:uid="{42ECBA55-47F8-4F1A-A9E0-7017453A8B4B}" name="Año"/>
    <tableColumn id="2" xr3:uid="{CDD0F1A9-C7B0-40E6-891F-812FCDB24E12}" name="I+D (total)" dataDxfId="7" dataCellStyle="Porcentaje"/>
    <tableColumn id="3" xr3:uid="{0B2C8E62-88DB-486F-B648-50C0C269D882}" name="I+D (pública)"/>
    <tableColumn id="5" xr3:uid="{234252B3-B341-4C19-B192-9B4BC02B2D3A}" name="Plan Bicentenario (total)" dataDxfId="6" dataCellStyle="Porcentaje"/>
    <tableColumn id="6" xr3:uid="{7CB8DC6C-E507-400A-B06E-208669FD2E16}" name="Argentina Innovadora 2020 (A) (total)" dataDxfId="5" dataCellStyle="Porcentaje"/>
    <tableColumn id="7" xr3:uid="{5EA99DC6-E94E-409F-8778-02D903ADD2D7}" name="Argentina Innovadora 2020 (B) (total)" dataDxfId="4" dataCellStyle="Porcentaje"/>
    <tableColumn id="8" xr3:uid="{D3E3DC1E-4E8B-411E-934D-66E52952828C}" name="PNCTI 2030 (total)"/>
    <tableColumn id="9" xr3:uid="{43C06CF7-91B7-44BF-8299-50D6FAD06009}" name="Plan Bicentenario (pública)"/>
    <tableColumn id="10" xr3:uid="{3B63CD47-8B24-4939-B83B-14C9A447A6CA}" name="Argentina Innovadora 2020 (A) (pública)" dataDxfId="3" dataCellStyle="Porcentaje"/>
    <tableColumn id="11" xr3:uid="{3173BB7C-87A0-4DAD-A54D-C331521D6B5A}" name="Argentina Innovadora 2020 (B) (pública)" dataDxfId="2" dataCellStyle="Porcentaje"/>
    <tableColumn id="12" xr3:uid="{55982BCE-C8DB-4521-AC1C-17542BDFB155}" name="PNCTI 2030 (pública)" dataDxfId="1" dataCellStyle="Porcentaje"/>
    <tableColumn id="13" xr3:uid="{CDED89D1-6FDB-47FB-B682-79E4F5A21573}" name="Ley de Financiamiento (pública)" dataDxfId="0" dataCellStyle="Porcentaj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88F7-C8BB-4B64-9592-B9DC0617FE59}">
  <dimension ref="A1:L32"/>
  <sheetViews>
    <sheetView tabSelected="1" topLeftCell="G1" zoomScaleNormal="100" workbookViewId="0">
      <selection activeCell="M33" sqref="M33"/>
    </sheetView>
  </sheetViews>
  <sheetFormatPr baseColWidth="10" defaultRowHeight="15" x14ac:dyDescent="0.25"/>
  <sheetData>
    <row r="1" spans="1:12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>
        <v>2002</v>
      </c>
      <c r="B2" s="1">
        <v>3.8999999999999998E-3</v>
      </c>
      <c r="C2" s="1">
        <v>2.8E-3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>
        <v>2003</v>
      </c>
      <c r="B3" s="1">
        <v>4.1000000000000003E-3</v>
      </c>
      <c r="C3" s="2">
        <v>2.8E-3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>
        <v>2004</v>
      </c>
      <c r="B4" s="1">
        <v>4.0000000000000001E-3</v>
      </c>
      <c r="C4" s="1">
        <v>2.5000000000000001E-3</v>
      </c>
      <c r="D4" s="3">
        <v>4.8999999999999998E-3</v>
      </c>
      <c r="E4" s="1"/>
      <c r="F4" s="1"/>
      <c r="G4" s="1"/>
      <c r="H4" s="1">
        <v>1.8E-3</v>
      </c>
      <c r="I4" s="1"/>
      <c r="J4" s="1"/>
      <c r="K4" s="1"/>
      <c r="L4" s="1"/>
    </row>
    <row r="5" spans="1:12" x14ac:dyDescent="0.25">
      <c r="A5">
        <v>2005</v>
      </c>
      <c r="B5" s="1">
        <v>4.1999999999999997E-3</v>
      </c>
      <c r="C5" s="1">
        <v>2.7000000000000001E-3</v>
      </c>
      <c r="D5" s="1">
        <v>5.3E-3</v>
      </c>
      <c r="E5" s="1"/>
      <c r="F5" s="1"/>
      <c r="G5" s="1"/>
      <c r="H5" s="1">
        <f>H4+0.0005</f>
        <v>2.3E-3</v>
      </c>
      <c r="I5" s="1"/>
      <c r="J5" s="1"/>
      <c r="K5" s="1"/>
      <c r="L5" s="1"/>
    </row>
    <row r="6" spans="1:12" x14ac:dyDescent="0.25">
      <c r="A6">
        <v>2006</v>
      </c>
      <c r="B6" s="1">
        <v>4.4999999999999997E-3</v>
      </c>
      <c r="C6" s="1">
        <v>2.8999999999999998E-3</v>
      </c>
      <c r="D6" s="1">
        <f>D5+0.00096</f>
        <v>6.2599999999999999E-3</v>
      </c>
      <c r="E6" s="1"/>
      <c r="F6" s="1"/>
      <c r="G6" s="1"/>
      <c r="H6" s="1">
        <f t="shared" ref="H6:H9" si="0">H5+0.0005</f>
        <v>2.8E-3</v>
      </c>
      <c r="I6" s="1"/>
      <c r="J6" s="1"/>
      <c r="K6" s="1"/>
      <c r="L6" s="1"/>
    </row>
    <row r="7" spans="1:12" x14ac:dyDescent="0.25">
      <c r="A7">
        <v>2007</v>
      </c>
      <c r="B7" s="1">
        <v>4.5999999999999999E-3</v>
      </c>
      <c r="C7" s="1">
        <v>3.0000000000000001E-3</v>
      </c>
      <c r="D7" s="1">
        <f t="shared" ref="D7:D9" si="1">D6+0.00096</f>
        <v>7.2199999999999999E-3</v>
      </c>
      <c r="E7" s="1"/>
      <c r="F7" s="1"/>
      <c r="G7" s="1"/>
      <c r="H7" s="1">
        <f t="shared" si="0"/>
        <v>3.3E-3</v>
      </c>
      <c r="I7" s="1"/>
      <c r="J7" s="1"/>
      <c r="K7" s="1"/>
      <c r="L7" s="1"/>
    </row>
    <row r="8" spans="1:12" x14ac:dyDescent="0.25">
      <c r="A8">
        <v>2008</v>
      </c>
      <c r="B8" s="1">
        <v>4.7000000000000002E-3</v>
      </c>
      <c r="C8" s="1">
        <v>3.3E-3</v>
      </c>
      <c r="D8" s="1">
        <f t="shared" si="1"/>
        <v>8.1799999999999998E-3</v>
      </c>
      <c r="E8" s="1"/>
      <c r="F8" s="1"/>
      <c r="G8" s="1"/>
      <c r="H8" s="1">
        <f t="shared" si="0"/>
        <v>3.8E-3</v>
      </c>
      <c r="I8" s="1"/>
      <c r="J8" s="1"/>
      <c r="K8" s="1"/>
      <c r="L8" s="1"/>
    </row>
    <row r="9" spans="1:12" x14ac:dyDescent="0.25">
      <c r="A9">
        <v>2009</v>
      </c>
      <c r="B9" s="1">
        <v>5.7999999999999996E-3</v>
      </c>
      <c r="C9" s="1">
        <v>4.0999999999999995E-3</v>
      </c>
      <c r="D9" s="1">
        <f t="shared" si="1"/>
        <v>9.1400000000000006E-3</v>
      </c>
      <c r="E9" s="1"/>
      <c r="F9" s="1"/>
      <c r="G9" s="1"/>
      <c r="H9" s="1">
        <f t="shared" si="0"/>
        <v>4.3E-3</v>
      </c>
      <c r="I9" s="1"/>
      <c r="J9" s="1"/>
      <c r="K9" s="1"/>
      <c r="L9" s="1"/>
    </row>
    <row r="10" spans="1:12" x14ac:dyDescent="0.25">
      <c r="A10">
        <v>2010</v>
      </c>
      <c r="B10" s="1">
        <v>5.5999999999999999E-3</v>
      </c>
      <c r="C10" s="1">
        <v>3.9000000000000003E-3</v>
      </c>
      <c r="D10" s="3">
        <v>1.01E-2</v>
      </c>
      <c r="E10" s="1"/>
      <c r="F10" s="1"/>
      <c r="G10" s="1"/>
      <c r="H10" s="3">
        <v>5.0499999999999998E-3</v>
      </c>
      <c r="I10" s="1"/>
      <c r="J10" s="1"/>
      <c r="K10" s="1"/>
      <c r="L10" s="1"/>
    </row>
    <row r="11" spans="1:12" x14ac:dyDescent="0.25">
      <c r="A11">
        <v>2011</v>
      </c>
      <c r="B11" s="1">
        <v>5.7000000000000002E-3</v>
      </c>
      <c r="C11" s="1">
        <v>4.0000000000000001E-3</v>
      </c>
      <c r="D11" s="1"/>
      <c r="E11" s="3">
        <v>6.4999999999999997E-3</v>
      </c>
      <c r="F11" s="3">
        <v>6.4999999999999997E-3</v>
      </c>
      <c r="G11" s="1"/>
      <c r="H11" s="1"/>
      <c r="I11" s="3">
        <f>0.0065*(1-0.26)</f>
        <v>4.81E-3</v>
      </c>
      <c r="J11" s="3">
        <f>0.0065*(1-0.26)</f>
        <v>4.81E-3</v>
      </c>
      <c r="K11" s="1"/>
      <c r="L11" s="1"/>
    </row>
    <row r="12" spans="1:12" x14ac:dyDescent="0.25">
      <c r="A12">
        <v>2012</v>
      </c>
      <c r="B12" s="1">
        <v>6.3E-3</v>
      </c>
      <c r="C12" s="1">
        <v>4.5999999999999999E-3</v>
      </c>
      <c r="D12" s="1"/>
      <c r="E12" s="1">
        <f>E11+0.00035</f>
        <v>6.8499999999999993E-3</v>
      </c>
      <c r="F12" s="1">
        <f>F11+0.0009</f>
        <v>7.3999999999999995E-3</v>
      </c>
      <c r="G12" s="1"/>
      <c r="H12" s="1"/>
      <c r="I12" s="1">
        <f>0.00685*(1-0.26)</f>
        <v>5.0689999999999997E-3</v>
      </c>
      <c r="J12" s="1">
        <f>0.74%*(1-0.26-0.025)</f>
        <v>5.2909999999999997E-3</v>
      </c>
      <c r="K12" s="1"/>
      <c r="L12" s="1"/>
    </row>
    <row r="13" spans="1:12" x14ac:dyDescent="0.25">
      <c r="A13">
        <v>2013</v>
      </c>
      <c r="B13" s="1">
        <v>6.1999999999999998E-3</v>
      </c>
      <c r="C13" s="1">
        <v>4.5000000000000005E-3</v>
      </c>
      <c r="D13" s="1"/>
      <c r="E13" s="1">
        <f t="shared" ref="E13:E14" si="2">E12+0.00035</f>
        <v>7.1999999999999989E-3</v>
      </c>
      <c r="F13" s="1">
        <f t="shared" ref="F13:F14" si="3">F12+0.0009</f>
        <v>8.3000000000000001E-3</v>
      </c>
      <c r="G13" s="1"/>
      <c r="H13" s="1"/>
      <c r="I13" s="1">
        <f>0.72%*(1-0.26)</f>
        <v>5.3279999999999994E-3</v>
      </c>
      <c r="J13" s="1">
        <f>0.83%*(1-0.26-0.05)</f>
        <v>5.7269999999999995E-3</v>
      </c>
      <c r="K13" s="1"/>
      <c r="L13" s="1"/>
    </row>
    <row r="14" spans="1:12" x14ac:dyDescent="0.25">
      <c r="A14">
        <v>2014</v>
      </c>
      <c r="B14" s="1">
        <v>5.8999999999999999E-3</v>
      </c>
      <c r="C14" s="1">
        <v>4.5999999999999999E-3</v>
      </c>
      <c r="D14" s="1"/>
      <c r="E14" s="1">
        <f t="shared" si="2"/>
        <v>7.5499999999999986E-3</v>
      </c>
      <c r="F14" s="1">
        <f t="shared" si="3"/>
        <v>9.1999999999999998E-3</v>
      </c>
      <c r="G14" s="1"/>
      <c r="H14" s="1"/>
      <c r="I14" s="1">
        <f>0.755%*(1-0.26)</f>
        <v>5.587E-3</v>
      </c>
      <c r="J14" s="1">
        <f>0.92%*(1-0.26-0.075)</f>
        <v>6.1180000000000002E-3</v>
      </c>
      <c r="K14" s="1"/>
      <c r="L14" s="1"/>
    </row>
    <row r="15" spans="1:12" x14ac:dyDescent="0.25">
      <c r="A15">
        <v>2015</v>
      </c>
      <c r="B15" s="1">
        <v>6.1999999999999998E-3</v>
      </c>
      <c r="C15" s="1">
        <v>4.6999999999999993E-3</v>
      </c>
      <c r="D15" s="1"/>
      <c r="E15" s="3">
        <v>7.9000000000000008E-3</v>
      </c>
      <c r="F15" s="3">
        <v>1.01E-2</v>
      </c>
      <c r="G15" s="1"/>
      <c r="H15" s="1"/>
      <c r="I15" s="3">
        <f>0.79%*(1-0.26)</f>
        <v>5.8460000000000005E-3</v>
      </c>
      <c r="J15" s="3">
        <f>1.01%*(1-0.26-0.1)</f>
        <v>6.4640000000000001E-3</v>
      </c>
      <c r="K15" s="1"/>
      <c r="L15" s="1"/>
    </row>
    <row r="16" spans="1:12" x14ac:dyDescent="0.25">
      <c r="A16">
        <v>2016</v>
      </c>
      <c r="B16" s="1">
        <v>5.5999999999999999E-3</v>
      </c>
      <c r="C16" s="1">
        <v>4.0000000000000001E-3</v>
      </c>
      <c r="D16" s="1"/>
      <c r="E16" s="1">
        <f>E15+0.0003</f>
        <v>8.2000000000000007E-3</v>
      </c>
      <c r="F16" s="1">
        <f>F15+0.00128</f>
        <v>1.1379999999999999E-2</v>
      </c>
      <c r="G16" s="1"/>
      <c r="H16" s="1"/>
      <c r="I16" s="1">
        <f>0.82%*(1-0.26)</f>
        <v>6.0679999999999987E-3</v>
      </c>
      <c r="J16" s="1">
        <f>1.138%*(1-0.26-0.1-0.028)</f>
        <v>6.9645599999999998E-3</v>
      </c>
      <c r="K16" s="1"/>
      <c r="L16" s="1"/>
    </row>
    <row r="17" spans="1:12" x14ac:dyDescent="0.25">
      <c r="A17">
        <v>2017</v>
      </c>
      <c r="B17" s="1">
        <v>5.5999999999999999E-3</v>
      </c>
      <c r="C17" s="1">
        <v>3.9000000000000003E-3</v>
      </c>
      <c r="D17" s="1"/>
      <c r="E17" s="1">
        <f t="shared" ref="E17:E19" si="4">E16+0.0003</f>
        <v>8.5000000000000006E-3</v>
      </c>
      <c r="F17" s="1">
        <f t="shared" ref="F17:F19" si="5">F16+0.00128</f>
        <v>1.2659999999999999E-2</v>
      </c>
      <c r="G17" s="1"/>
      <c r="H17" s="1"/>
      <c r="I17" s="1">
        <f>0.85%*(1-0.26)</f>
        <v>6.2900000000000005E-3</v>
      </c>
      <c r="J17" s="1">
        <f>1.266%*(1-0.26-0.1-0.028-0.028)</f>
        <v>7.3934399999999994E-3</v>
      </c>
      <c r="K17" s="1"/>
      <c r="L17" s="1"/>
    </row>
    <row r="18" spans="1:12" x14ac:dyDescent="0.25">
      <c r="A18">
        <v>2018</v>
      </c>
      <c r="B18" s="1">
        <v>4.8999999999999998E-3</v>
      </c>
      <c r="C18" s="1">
        <v>3.2000000000000002E-3</v>
      </c>
      <c r="D18" s="1"/>
      <c r="E18" s="1">
        <f t="shared" si="4"/>
        <v>8.8000000000000005E-3</v>
      </c>
      <c r="F18" s="1">
        <f t="shared" si="5"/>
        <v>1.3939999999999999E-2</v>
      </c>
      <c r="G18" s="1"/>
      <c r="H18" s="1"/>
      <c r="I18" s="1">
        <f>0.88%*(1-0.26)</f>
        <v>6.5120000000000004E-3</v>
      </c>
      <c r="J18" s="1">
        <f>1.394%*(1-0.26-0.1-0.028-0.028-0.028)</f>
        <v>7.7506399999999987E-3</v>
      </c>
      <c r="K18" s="1"/>
      <c r="L18" s="1"/>
    </row>
    <row r="19" spans="1:12" x14ac:dyDescent="0.25">
      <c r="A19">
        <v>2019</v>
      </c>
      <c r="B19" s="1">
        <v>4.7999999999999996E-3</v>
      </c>
      <c r="C19" s="1">
        <v>2.8999999999999998E-3</v>
      </c>
      <c r="D19" s="1"/>
      <c r="E19" s="1">
        <f t="shared" si="4"/>
        <v>9.1000000000000004E-3</v>
      </c>
      <c r="F19" s="1">
        <f t="shared" si="5"/>
        <v>1.5219999999999999E-2</v>
      </c>
      <c r="G19" s="1"/>
      <c r="H19" s="1"/>
      <c r="I19" s="1">
        <f>0.91%*(1-0.26)</f>
        <v>6.7340000000000004E-3</v>
      </c>
      <c r="J19" s="1">
        <f>1.522%*(1-0.26-0.1-0.028-0.028-0.028-0.028)</f>
        <v>8.0361599999999988E-3</v>
      </c>
      <c r="K19" s="1"/>
      <c r="L19" s="1"/>
    </row>
    <row r="20" spans="1:12" x14ac:dyDescent="0.25">
      <c r="A20">
        <v>2020</v>
      </c>
      <c r="B20" s="1">
        <v>5.4000000000000003E-3</v>
      </c>
      <c r="C20" s="1">
        <v>3.0999999999999999E-3</v>
      </c>
      <c r="D20" s="1"/>
      <c r="E20" s="3">
        <v>9.4000000000000004E-3</v>
      </c>
      <c r="F20" s="3">
        <v>1.6500000000000001E-2</v>
      </c>
      <c r="G20" s="3">
        <v>5.1999999999999998E-3</v>
      </c>
      <c r="I20" s="3">
        <f>0.94%*(1-0.26)</f>
        <v>6.9559999999999986E-3</v>
      </c>
      <c r="J20" s="3">
        <f>1.65%*(1-0.26-0.1-0.028*5)</f>
        <v>8.2500000000000004E-3</v>
      </c>
      <c r="K20" s="3">
        <v>3.1000000000000008E-3</v>
      </c>
      <c r="L20" s="1"/>
    </row>
    <row r="21" spans="1:12" x14ac:dyDescent="0.25">
      <c r="A21">
        <v>2021</v>
      </c>
      <c r="B21" s="1">
        <v>5.1999999999999998E-3</v>
      </c>
      <c r="C21" s="1">
        <v>3.0000000000000001E-3</v>
      </c>
      <c r="D21" s="1"/>
      <c r="E21" s="1"/>
      <c r="F21" s="1"/>
      <c r="G21" s="1">
        <f>G20+0.00066</f>
        <v>5.8599999999999998E-3</v>
      </c>
      <c r="I21" s="1"/>
      <c r="J21" s="1"/>
      <c r="K21" s="1">
        <v>3.5200000000000006E-3</v>
      </c>
      <c r="L21" s="3">
        <v>2.8E-3</v>
      </c>
    </row>
    <row r="22" spans="1:12" x14ac:dyDescent="0.25">
      <c r="A22">
        <v>2022</v>
      </c>
      <c r="B22" s="1">
        <v>5.4999999999999997E-3</v>
      </c>
      <c r="C22" s="1">
        <v>3.2000000000000002E-3</v>
      </c>
      <c r="D22" s="1"/>
      <c r="E22" s="1"/>
      <c r="F22" s="1"/>
      <c r="G22" s="1">
        <f t="shared" ref="G22:G24" si="6">G21+0.00066</f>
        <v>6.5199999999999998E-3</v>
      </c>
      <c r="I22" s="1"/>
      <c r="J22" s="1"/>
      <c r="K22" s="1">
        <v>3.9400000000000008E-3</v>
      </c>
      <c r="L22" s="3">
        <v>3.0999999999999999E-3</v>
      </c>
    </row>
    <row r="23" spans="1:12" x14ac:dyDescent="0.25">
      <c r="A23">
        <v>2023</v>
      </c>
      <c r="B23" s="1">
        <v>6.0109999999999999E-3</v>
      </c>
      <c r="C23" s="1">
        <v>3.3E-3</v>
      </c>
      <c r="D23" s="1"/>
      <c r="E23" s="1"/>
      <c r="F23" s="1"/>
      <c r="G23" s="1">
        <f t="shared" si="6"/>
        <v>7.1799999999999998E-3</v>
      </c>
      <c r="I23" s="1"/>
      <c r="J23" s="1"/>
      <c r="K23" s="1">
        <v>4.3600000000000002E-3</v>
      </c>
      <c r="L23" s="3">
        <v>3.3999999999999998E-3</v>
      </c>
    </row>
    <row r="24" spans="1:12" x14ac:dyDescent="0.25">
      <c r="A24">
        <v>2024</v>
      </c>
      <c r="B24" s="1"/>
      <c r="C24" s="2"/>
      <c r="D24" s="1"/>
      <c r="E24" s="1"/>
      <c r="F24" s="1"/>
      <c r="G24" s="1">
        <f t="shared" si="6"/>
        <v>7.8399999999999997E-3</v>
      </c>
      <c r="I24" s="4"/>
      <c r="J24" s="1"/>
      <c r="K24" s="1">
        <v>4.7799999999999995E-3</v>
      </c>
      <c r="L24" s="3">
        <v>3.8999999999999998E-3</v>
      </c>
    </row>
    <row r="25" spans="1:12" x14ac:dyDescent="0.25">
      <c r="A25">
        <v>2025</v>
      </c>
      <c r="B25" s="1"/>
      <c r="D25" s="1"/>
      <c r="E25" s="1"/>
      <c r="F25" s="1"/>
      <c r="G25" s="3">
        <v>8.5000000000000006E-3</v>
      </c>
      <c r="I25" s="1"/>
      <c r="J25" s="1"/>
      <c r="K25" s="3">
        <v>5.2000000000000006E-3</v>
      </c>
      <c r="L25" s="3">
        <v>4.4999999999999997E-3</v>
      </c>
    </row>
    <row r="26" spans="1:12" x14ac:dyDescent="0.25">
      <c r="A26">
        <v>2026</v>
      </c>
      <c r="B26" s="1"/>
      <c r="D26" s="1"/>
      <c r="E26" s="1"/>
      <c r="F26" s="1"/>
      <c r="G26" s="1">
        <f>G25+0.0017</f>
        <v>1.0200000000000001E-2</v>
      </c>
      <c r="I26" s="1"/>
      <c r="J26" s="1"/>
      <c r="K26" s="1">
        <v>6.2400000000000008E-3</v>
      </c>
      <c r="L26" s="3">
        <v>5.1999999999999998E-3</v>
      </c>
    </row>
    <row r="27" spans="1:12" x14ac:dyDescent="0.25">
      <c r="A27">
        <v>2027</v>
      </c>
      <c r="B27" s="1"/>
      <c r="D27" s="1"/>
      <c r="E27" s="1"/>
      <c r="F27" s="1"/>
      <c r="G27" s="1">
        <f t="shared" ref="G27:G29" si="7">G26+0.0017</f>
        <v>1.1900000000000001E-2</v>
      </c>
      <c r="I27" s="1"/>
      <c r="J27" s="1"/>
      <c r="K27" s="1">
        <v>7.28E-3</v>
      </c>
      <c r="L27" s="3">
        <v>5.8999999999999999E-3</v>
      </c>
    </row>
    <row r="28" spans="1:12" x14ac:dyDescent="0.25">
      <c r="A28">
        <v>2028</v>
      </c>
      <c r="B28" s="1"/>
      <c r="D28" s="1"/>
      <c r="E28" s="1"/>
      <c r="F28" s="1"/>
      <c r="G28" s="1">
        <f t="shared" si="7"/>
        <v>1.3600000000000001E-2</v>
      </c>
      <c r="I28" s="1"/>
      <c r="J28" s="1"/>
      <c r="K28" s="1">
        <v>8.320000000000001E-3</v>
      </c>
      <c r="L28" s="3">
        <v>6.7999999999999996E-3</v>
      </c>
    </row>
    <row r="29" spans="1:12" x14ac:dyDescent="0.25">
      <c r="A29">
        <v>2029</v>
      </c>
      <c r="B29" s="1"/>
      <c r="D29" s="1"/>
      <c r="E29" s="1"/>
      <c r="F29" s="1"/>
      <c r="G29" s="1">
        <f t="shared" si="7"/>
        <v>1.5300000000000001E-2</v>
      </c>
      <c r="I29" s="1"/>
      <c r="J29" s="1"/>
      <c r="K29" s="1">
        <v>9.3600000000000003E-3</v>
      </c>
      <c r="L29" s="3">
        <v>7.7999999999999996E-3</v>
      </c>
    </row>
    <row r="30" spans="1:12" x14ac:dyDescent="0.25">
      <c r="A30">
        <v>2030</v>
      </c>
      <c r="B30" s="1"/>
      <c r="D30" s="1"/>
      <c r="E30" s="1"/>
      <c r="F30" s="1"/>
      <c r="G30" s="3">
        <v>1.7000000000000001E-2</v>
      </c>
      <c r="I30" s="1"/>
      <c r="J30" s="1"/>
      <c r="K30" s="3">
        <v>1.04E-2</v>
      </c>
      <c r="L30" s="3">
        <v>8.9999999999999993E-3</v>
      </c>
    </row>
    <row r="31" spans="1:12" x14ac:dyDescent="0.25">
      <c r="A31">
        <v>2031</v>
      </c>
      <c r="I31" s="1"/>
      <c r="J31" s="1"/>
      <c r="K31" s="1"/>
      <c r="L31" s="3">
        <v>9.4999999999999998E-3</v>
      </c>
    </row>
    <row r="32" spans="1:12" x14ac:dyDescent="0.25">
      <c r="A32">
        <v>2032</v>
      </c>
      <c r="I32" s="1"/>
      <c r="J32" s="1"/>
      <c r="K32" s="1"/>
      <c r="L32" s="3">
        <v>0.01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Gráfico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2025-09-03T12:58:24Z</dcterms:created>
  <dcterms:modified xsi:type="dcterms:W3CDTF">2026-02-25T17:54:20Z</dcterms:modified>
</cp:coreProperties>
</file>