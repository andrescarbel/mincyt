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Tesis\mincyt\datasets\partidas\"/>
    </mc:Choice>
  </mc:AlternateContent>
  <xr:revisionPtr revIDLastSave="0" documentId="13_ncr:1_{A2E28B7C-8B69-4D01-B45D-B0A5D8008F5C}" xr6:coauthVersionLast="47" xr6:coauthVersionMax="47" xr10:uidLastSave="{00000000-0000-0000-0000-000000000000}"/>
  <bookViews>
    <workbookView xWindow="-120" yWindow="-120" windowWidth="29040" windowHeight="15720" xr2:uid="{42E59807-315E-4941-B77C-316378B006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1" l="1"/>
  <c r="G26" i="1"/>
  <c r="G25" i="1"/>
  <c r="G24" i="1"/>
  <c r="G22" i="1"/>
  <c r="G21" i="1"/>
  <c r="H3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<sst xmlns="http://schemas.openxmlformats.org/spreadsheetml/2006/main" count="30" uniqueCount="29">
  <si>
    <t>Avance de obra por año</t>
  </si>
  <si>
    <t>2,3</t>
  </si>
  <si>
    <t>8,5</t>
  </si>
  <si>
    <t>8,7</t>
  </si>
  <si>
    <t>4,5</t>
  </si>
  <si>
    <t>2,8</t>
  </si>
  <si>
    <t>6,5</t>
  </si>
  <si>
    <t>5,2</t>
  </si>
  <si>
    <t>3,7</t>
  </si>
  <si>
    <t>4,3</t>
  </si>
  <si>
    <t>7,4</t>
  </si>
  <si>
    <t>3,4</t>
  </si>
  <si>
    <t>1,1</t>
  </si>
  <si>
    <t>0,9</t>
  </si>
  <si>
    <t>1,8</t>
  </si>
  <si>
    <t>1,24</t>
  </si>
  <si>
    <t>CHEQUEADO</t>
  </si>
  <si>
    <t>INFORMES</t>
  </si>
  <si>
    <t>DEVENGADO ESE AÑO</t>
  </si>
  <si>
    <t>IGUAL A F+G</t>
  </si>
  <si>
    <t>Avance de obra acumulado chequeado</t>
  </si>
  <si>
    <t>DEVENGADO AÑO ANTERIOR INFORMES</t>
  </si>
  <si>
    <t>PROMEDIO ANUAL</t>
  </si>
  <si>
    <t>PROMEDIO 2019-2023</t>
  </si>
  <si>
    <t>2008-2011</t>
  </si>
  <si>
    <t>2012-2015</t>
  </si>
  <si>
    <t>2016-2019</t>
  </si>
  <si>
    <t>2020-2023</t>
  </si>
  <si>
    <t>PROMEDIOS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</si>
</sst>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ArialMT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horizontal="right" wrapText="1"/>
    </xf>
    <xf numFmtId="0" fontId="3" fillId="4" borderId="3" xfId="0" applyFont="1" applyFill="1" applyBorder="1" applyAlignment="1">
      <alignment horizontal="right" wrapText="1"/>
    </xf>
    <xf numFmtId="0" fontId="4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/>
    <xf numFmtId="10" fontId="0" fillId="0" borderId="0" xfId="1" applyNumberFormat="1" applyFont="1"/>
    <xf numFmtId="10" fontId="0" fillId="6" borderId="0" xfId="1" applyNumberFormat="1" applyFont="1" applyFill="1"/>
    <xf numFmtId="10" fontId="2" fillId="0" borderId="0" xfId="1" applyNumberFormat="1" applyFont="1"/>
    <xf numFmtId="10" fontId="0" fillId="0" borderId="0" xfId="0" applyNumberForma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textRotation="9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Avance</a:t>
            </a:r>
            <a:r>
              <a:rPr lang="es-AR" baseline="0"/>
              <a:t> físico del proyecto de inversión plurianual "Construcción de Reactor de Baja Potencia CAREM - Fase II" (2007-2023)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Hoja1!$F$1</c:f>
              <c:strCache>
                <c:ptCount val="1"/>
                <c:pt idx="0">
                  <c:v>DEVENGADO AÑO ANTERIOR INFORMES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Hoja1!$E$3:$E$19</c:f>
              <c:numCache>
                <c:formatCode>General</c:formatCode>
                <c:ptCount val="1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numCache>
            </c:numRef>
          </c:cat>
          <c:val>
            <c:numRef>
              <c:f>Hoja1!$F$3:$F$19</c:f>
              <c:numCache>
                <c:formatCode>0.00%</c:formatCode>
                <c:ptCount val="17"/>
                <c:pt idx="0">
                  <c:v>6.7000000000000002E-3</c:v>
                </c:pt>
                <c:pt idx="1">
                  <c:v>1.72E-2</c:v>
                </c:pt>
                <c:pt idx="2">
                  <c:v>6.7199999999999996E-2</c:v>
                </c:pt>
                <c:pt idx="3">
                  <c:v>0.1162</c:v>
                </c:pt>
                <c:pt idx="4">
                  <c:v>0.16170000000000001</c:v>
                </c:pt>
                <c:pt idx="5">
                  <c:v>0.18920000000000001</c:v>
                </c:pt>
                <c:pt idx="6">
                  <c:v>0.25409999999999999</c:v>
                </c:pt>
                <c:pt idx="7">
                  <c:v>0.30630000000000002</c:v>
                </c:pt>
                <c:pt idx="8">
                  <c:v>0.34340000000000004</c:v>
                </c:pt>
                <c:pt idx="9">
                  <c:v>0.38640000000000002</c:v>
                </c:pt>
                <c:pt idx="10">
                  <c:v>0.46029999999999999</c:v>
                </c:pt>
                <c:pt idx="11">
                  <c:v>0.54500000000000004</c:v>
                </c:pt>
                <c:pt idx="12">
                  <c:v>0.57889999999999997</c:v>
                </c:pt>
                <c:pt idx="13">
                  <c:v>0.58939999999999992</c:v>
                </c:pt>
                <c:pt idx="14">
                  <c:v>0.59789999999999999</c:v>
                </c:pt>
                <c:pt idx="15">
                  <c:v>0.6159</c:v>
                </c:pt>
                <c:pt idx="16">
                  <c:v>0.63280000000000003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8-49D9-AF19-1ED4AEB08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7026607"/>
        <c:axId val="1457023695"/>
      </c:barChart>
      <c:lineChart>
        <c:grouping val="standard"/>
        <c:varyColors val="0"/>
        <c:ser>
          <c:idx val="1"/>
          <c:order val="1"/>
          <c:tx>
            <c:strRef>
              <c:f>Hoja1!$G$1</c:f>
              <c:strCache>
                <c:ptCount val="1"/>
                <c:pt idx="0">
                  <c:v>DEVENGADO ESE AÑO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Hoja1!$G$3:$G$19</c:f>
              <c:numCache>
                <c:formatCode>0.00%</c:formatCode>
                <c:ptCount val="17"/>
                <c:pt idx="0">
                  <c:v>6.7000000000000002E-3</c:v>
                </c:pt>
                <c:pt idx="1">
                  <c:v>1.0500000000000001E-2</c:v>
                </c:pt>
                <c:pt idx="2">
                  <c:v>0.05</c:v>
                </c:pt>
                <c:pt idx="3">
                  <c:v>4.9000000000000002E-2</c:v>
                </c:pt>
                <c:pt idx="4">
                  <c:v>4.4999999999999998E-2</c:v>
                </c:pt>
                <c:pt idx="5">
                  <c:v>2.75E-2</c:v>
                </c:pt>
                <c:pt idx="6">
                  <c:v>6.4899999999999999E-2</c:v>
                </c:pt>
                <c:pt idx="7">
                  <c:v>5.2199999999999996E-2</c:v>
                </c:pt>
                <c:pt idx="8">
                  <c:v>3.7100000000000001E-2</c:v>
                </c:pt>
                <c:pt idx="9">
                  <c:v>4.2999999999999997E-2</c:v>
                </c:pt>
                <c:pt idx="10">
                  <c:v>7.3899999999999993E-2</c:v>
                </c:pt>
                <c:pt idx="11">
                  <c:v>8.4700000000000011E-2</c:v>
                </c:pt>
                <c:pt idx="12">
                  <c:v>4.5999999999999999E-3</c:v>
                </c:pt>
                <c:pt idx="13">
                  <c:v>1.0500000000000001E-2</c:v>
                </c:pt>
                <c:pt idx="14">
                  <c:v>8.5000000000000006E-3</c:v>
                </c:pt>
                <c:pt idx="15">
                  <c:v>1.8000000000000002E-2</c:v>
                </c:pt>
                <c:pt idx="16">
                  <c:v>1.6899999999999998E-2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E8-49D9-AF19-1ED4AEB08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725087"/>
        <c:axId val="1259724671"/>
      </c:lineChart>
      <c:catAx>
        <c:axId val="14570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7023695"/>
        <c:crosses val="autoZero"/>
        <c:auto val="1"/>
        <c:lblAlgn val="ctr"/>
        <c:lblOffset val="100"/>
        <c:noMultiLvlLbl val="0"/>
      </c:catAx>
      <c:valAx>
        <c:axId val="145702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7026607"/>
        <c:crosses val="autoZero"/>
        <c:crossBetween val="between"/>
      </c:valAx>
      <c:valAx>
        <c:axId val="125972467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9725087"/>
        <c:crosses val="max"/>
        <c:crossBetween val="between"/>
      </c:valAx>
      <c:catAx>
        <c:axId val="1259725087"/>
        <c:scaling>
          <c:orientation val="minMax"/>
        </c:scaling>
        <c:delete val="1"/>
        <c:axPos val="b"/>
        <c:majorTickMark val="out"/>
        <c:minorTickMark val="none"/>
        <c:tickLblPos val="nextTo"/>
        <c:crossAx val="1259724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0</xdr:row>
      <xdr:rowOff>571500</xdr:rowOff>
    </xdr:from>
    <xdr:to>
      <xdr:col>18</xdr:col>
      <xdr:colOff>485775</xdr:colOff>
      <xdr:row>20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7F91C4-0D47-40E3-99F1-836862DA2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E850-E15F-47AB-9505-E279F86EC492}">
  <dimension ref="A1:J55"/>
  <sheetViews>
    <sheetView tabSelected="1" topLeftCell="B1" workbookViewId="0">
      <selection activeCell="G9" sqref="G9"/>
    </sheetView>
  </sheetViews>
  <sheetFormatPr baseColWidth="10" defaultRowHeight="15"/>
  <cols>
    <col min="7" max="7" width="36.140625" customWidth="1"/>
  </cols>
  <sheetData>
    <row r="1" spans="1:10" ht="52.5" thickBot="1">
      <c r="A1" s="1" t="s">
        <v>16</v>
      </c>
      <c r="B1" s="2" t="s">
        <v>20</v>
      </c>
      <c r="C1" s="2" t="s">
        <v>0</v>
      </c>
      <c r="E1" t="s">
        <v>17</v>
      </c>
      <c r="F1" t="s">
        <v>21</v>
      </c>
      <c r="G1" t="s">
        <v>18</v>
      </c>
      <c r="H1" t="s">
        <v>19</v>
      </c>
    </row>
    <row r="2" spans="1:10" ht="15.75" thickBot="1">
      <c r="A2">
        <v>2006</v>
      </c>
      <c r="E2">
        <v>2006</v>
      </c>
    </row>
    <row r="3" spans="1:10" ht="15.75" thickBot="1">
      <c r="A3" s="3">
        <v>2007</v>
      </c>
      <c r="B3" s="4"/>
      <c r="C3" s="3" t="s">
        <v>15</v>
      </c>
      <c r="E3" s="3">
        <v>2007</v>
      </c>
      <c r="F3" s="14">
        <v>6.7000000000000002E-3</v>
      </c>
      <c r="G3" s="14">
        <v>6.7000000000000002E-3</v>
      </c>
      <c r="H3" s="14">
        <f t="shared" ref="H3:H11" si="0">F2+G3</f>
        <v>6.7000000000000002E-3</v>
      </c>
      <c r="J3" s="14"/>
    </row>
    <row r="4" spans="1:10" ht="15.75" thickBot="1">
      <c r="A4" s="5">
        <v>2008</v>
      </c>
      <c r="B4" s="5">
        <v>2.2999999999999998</v>
      </c>
      <c r="C4" s="5" t="s">
        <v>1</v>
      </c>
      <c r="E4" s="5">
        <v>2008</v>
      </c>
      <c r="F4" s="14">
        <v>1.72E-2</v>
      </c>
      <c r="G4" s="14">
        <v>1.0500000000000001E-2</v>
      </c>
      <c r="H4" s="14">
        <f t="shared" si="0"/>
        <v>1.72E-2</v>
      </c>
      <c r="J4" s="14"/>
    </row>
    <row r="5" spans="1:10" ht="15.75" thickBot="1">
      <c r="A5" s="5">
        <v>2009</v>
      </c>
      <c r="B5" s="5">
        <v>10.8</v>
      </c>
      <c r="C5" s="5" t="s">
        <v>2</v>
      </c>
      <c r="E5" s="5">
        <v>2009</v>
      </c>
      <c r="F5" s="14">
        <v>6.7199999999999996E-2</v>
      </c>
      <c r="G5" s="14">
        <v>0.05</v>
      </c>
      <c r="H5" s="14">
        <f t="shared" si="0"/>
        <v>6.720000000000001E-2</v>
      </c>
      <c r="J5" s="14"/>
    </row>
    <row r="6" spans="1:10" ht="15.75" thickBot="1">
      <c r="A6" s="5">
        <v>2010</v>
      </c>
      <c r="B6" s="5">
        <v>19.5</v>
      </c>
      <c r="C6" s="5" t="s">
        <v>3</v>
      </c>
      <c r="E6" s="5">
        <v>2010</v>
      </c>
      <c r="F6" s="15">
        <v>0.1162</v>
      </c>
      <c r="G6" s="14">
        <v>4.9000000000000002E-2</v>
      </c>
      <c r="H6" s="14">
        <f t="shared" si="0"/>
        <v>0.1162</v>
      </c>
      <c r="J6" s="14"/>
    </row>
    <row r="7" spans="1:10" ht="15.75" thickBot="1">
      <c r="A7" s="6">
        <v>2011</v>
      </c>
      <c r="B7" s="6">
        <v>24</v>
      </c>
      <c r="C7" s="6" t="s">
        <v>4</v>
      </c>
      <c r="E7" s="6">
        <v>2011</v>
      </c>
      <c r="F7" s="14">
        <v>0.16170000000000001</v>
      </c>
      <c r="G7" s="14">
        <v>4.4999999999999998E-2</v>
      </c>
      <c r="H7" s="14">
        <f t="shared" si="0"/>
        <v>0.16120000000000001</v>
      </c>
      <c r="J7" s="14"/>
    </row>
    <row r="8" spans="1:10" ht="15.75" thickBot="1">
      <c r="A8" s="7">
        <v>2012</v>
      </c>
      <c r="B8" s="7">
        <v>26.8</v>
      </c>
      <c r="C8" s="7" t="s">
        <v>5</v>
      </c>
      <c r="E8" s="7">
        <v>2012</v>
      </c>
      <c r="F8" s="14">
        <v>0.18920000000000001</v>
      </c>
      <c r="G8" s="14">
        <v>2.75E-2</v>
      </c>
      <c r="H8" s="14">
        <f t="shared" si="0"/>
        <v>0.18920000000000001</v>
      </c>
      <c r="J8" s="14"/>
    </row>
    <row r="9" spans="1:10" ht="15.75" thickBot="1">
      <c r="A9" s="7">
        <v>2013</v>
      </c>
      <c r="B9" s="7">
        <v>33.299999999999997</v>
      </c>
      <c r="C9" s="7" t="s">
        <v>6</v>
      </c>
      <c r="E9" s="7">
        <v>2013</v>
      </c>
      <c r="F9" s="14">
        <v>0.25409999999999999</v>
      </c>
      <c r="G9" s="14">
        <v>6.4899999999999999E-2</v>
      </c>
      <c r="H9" s="14">
        <f t="shared" si="0"/>
        <v>0.25409999999999999</v>
      </c>
      <c r="J9" s="14"/>
    </row>
    <row r="10" spans="1:10" ht="15.75" thickBot="1">
      <c r="A10" s="7">
        <v>2014</v>
      </c>
      <c r="B10" s="7">
        <v>38.5</v>
      </c>
      <c r="C10" s="7" t="s">
        <v>7</v>
      </c>
      <c r="E10" s="7">
        <v>2014</v>
      </c>
      <c r="F10" s="14">
        <v>0.30630000000000002</v>
      </c>
      <c r="G10" s="14">
        <v>5.2199999999999996E-2</v>
      </c>
      <c r="H10" s="14">
        <f t="shared" si="0"/>
        <v>0.30630000000000002</v>
      </c>
      <c r="J10" s="14"/>
    </row>
    <row r="11" spans="1:10" ht="15.75" thickBot="1">
      <c r="A11" s="7">
        <v>2015</v>
      </c>
      <c r="B11" s="7">
        <v>42.2</v>
      </c>
      <c r="C11" s="7" t="s">
        <v>8</v>
      </c>
      <c r="E11" s="7">
        <v>2015</v>
      </c>
      <c r="F11" s="14">
        <v>0.34340000000000004</v>
      </c>
      <c r="G11" s="14">
        <v>3.7100000000000001E-2</v>
      </c>
      <c r="H11" s="14">
        <f t="shared" si="0"/>
        <v>0.34340000000000004</v>
      </c>
      <c r="J11" s="14"/>
    </row>
    <row r="12" spans="1:10" ht="15.75" thickBot="1">
      <c r="A12" s="8">
        <v>2016</v>
      </c>
      <c r="B12" s="8">
        <v>46.5</v>
      </c>
      <c r="C12" s="8" t="s">
        <v>9</v>
      </c>
      <c r="E12" s="8">
        <v>2016</v>
      </c>
      <c r="F12" s="14">
        <v>0.38640000000000002</v>
      </c>
      <c r="G12" s="14">
        <v>4.2999999999999997E-2</v>
      </c>
      <c r="H12" s="14">
        <f t="shared" ref="H12:H19" si="1">F11+G12</f>
        <v>0.38640000000000002</v>
      </c>
      <c r="J12" s="14"/>
    </row>
    <row r="13" spans="1:10" ht="15.75" thickBot="1">
      <c r="A13" s="8">
        <v>2017</v>
      </c>
      <c r="B13" s="8">
        <v>53.9</v>
      </c>
      <c r="C13" s="8" t="s">
        <v>10</v>
      </c>
      <c r="E13" s="8">
        <v>2017</v>
      </c>
      <c r="F13" s="14">
        <v>0.46029999999999999</v>
      </c>
      <c r="G13" s="14">
        <v>7.3899999999999993E-2</v>
      </c>
      <c r="H13" s="14">
        <f t="shared" si="1"/>
        <v>0.46030000000000004</v>
      </c>
      <c r="J13" s="14"/>
    </row>
    <row r="14" spans="1:10" ht="15.75" thickBot="1">
      <c r="A14" s="8">
        <v>2018</v>
      </c>
      <c r="B14" s="8">
        <v>62.4</v>
      </c>
      <c r="C14" s="8" t="s">
        <v>2</v>
      </c>
      <c r="E14" s="8">
        <v>2018</v>
      </c>
      <c r="F14" s="14">
        <v>0.54500000000000004</v>
      </c>
      <c r="G14" s="14">
        <v>8.4700000000000011E-2</v>
      </c>
      <c r="H14" s="14">
        <f t="shared" si="1"/>
        <v>0.54500000000000004</v>
      </c>
      <c r="J14" s="14"/>
    </row>
    <row r="15" spans="1:10" ht="15.75" thickBot="1">
      <c r="A15" s="8">
        <v>2019</v>
      </c>
      <c r="B15" s="8">
        <v>65.8</v>
      </c>
      <c r="C15" s="8" t="s">
        <v>11</v>
      </c>
      <c r="E15" s="8">
        <v>2019</v>
      </c>
      <c r="F15" s="14">
        <v>0.57889999999999997</v>
      </c>
      <c r="G15" s="14">
        <v>4.5999999999999999E-3</v>
      </c>
      <c r="H15" s="14">
        <f t="shared" si="1"/>
        <v>0.54960000000000009</v>
      </c>
      <c r="J15" s="14"/>
    </row>
    <row r="16" spans="1:10" ht="15.75" thickBot="1">
      <c r="A16" s="7">
        <v>2020</v>
      </c>
      <c r="B16" s="7">
        <v>66.900000000000006</v>
      </c>
      <c r="C16" s="7" t="s">
        <v>12</v>
      </c>
      <c r="E16" s="7">
        <v>2020</v>
      </c>
      <c r="F16" s="14">
        <v>0.58939999999999992</v>
      </c>
      <c r="G16" s="14">
        <v>1.0500000000000001E-2</v>
      </c>
      <c r="H16" s="14">
        <f t="shared" si="1"/>
        <v>0.58939999999999992</v>
      </c>
      <c r="J16" s="14"/>
    </row>
    <row r="17" spans="1:10" ht="15.75" thickBot="1">
      <c r="A17" s="7">
        <v>2021</v>
      </c>
      <c r="B17" s="7">
        <v>67.8</v>
      </c>
      <c r="C17" s="7" t="s">
        <v>13</v>
      </c>
      <c r="E17" s="7">
        <v>2021</v>
      </c>
      <c r="F17" s="14">
        <v>0.59789999999999999</v>
      </c>
      <c r="G17" s="14">
        <v>8.5000000000000006E-3</v>
      </c>
      <c r="H17" s="14">
        <f t="shared" si="1"/>
        <v>0.59789999999999988</v>
      </c>
      <c r="J17" s="14"/>
    </row>
    <row r="18" spans="1:10" ht="15.75" thickBot="1">
      <c r="A18" s="7">
        <v>2022</v>
      </c>
      <c r="B18" s="7">
        <v>69.599999999999994</v>
      </c>
      <c r="C18" s="7" t="s">
        <v>14</v>
      </c>
      <c r="E18" s="7">
        <v>2022</v>
      </c>
      <c r="F18" s="14">
        <v>0.6159</v>
      </c>
      <c r="G18" s="14">
        <v>1.8000000000000002E-2</v>
      </c>
      <c r="H18" s="14">
        <f t="shared" si="1"/>
        <v>0.6159</v>
      </c>
      <c r="J18" s="14"/>
    </row>
    <row r="19" spans="1:10">
      <c r="A19" s="9">
        <v>2023</v>
      </c>
      <c r="E19" s="9">
        <v>2023</v>
      </c>
      <c r="F19" s="15">
        <v>0.63280000000000003</v>
      </c>
      <c r="G19" s="14">
        <v>1.6899999999999998E-2</v>
      </c>
      <c r="H19" s="14">
        <f t="shared" si="1"/>
        <v>0.63280000000000003</v>
      </c>
      <c r="J19" s="14"/>
    </row>
    <row r="21" spans="1:10">
      <c r="E21" s="19" t="s">
        <v>22</v>
      </c>
      <c r="F21" s="19"/>
      <c r="G21" s="16">
        <f>AVERAGE(G3:G19)</f>
        <v>3.5470588235294115E-2</v>
      </c>
    </row>
    <row r="22" spans="1:10">
      <c r="E22" s="19" t="s">
        <v>23</v>
      </c>
      <c r="F22" s="19"/>
      <c r="G22" s="14">
        <f>AVERAGE(G15:G19)</f>
        <v>1.17E-2</v>
      </c>
    </row>
    <row r="23" spans="1:10">
      <c r="E23" s="13"/>
    </row>
    <row r="24" spans="1:10">
      <c r="E24" s="20" t="s">
        <v>28</v>
      </c>
      <c r="F24" t="s">
        <v>24</v>
      </c>
      <c r="G24" s="17">
        <f>AVERAGE(G4:G7)</f>
        <v>3.8625000000000007E-2</v>
      </c>
    </row>
    <row r="25" spans="1:10">
      <c r="E25" s="20"/>
      <c r="F25" t="s">
        <v>25</v>
      </c>
      <c r="G25" s="17">
        <f>AVERAGE(G8:G11)</f>
        <v>4.5425E-2</v>
      </c>
    </row>
    <row r="26" spans="1:10">
      <c r="E26" s="20"/>
      <c r="F26" t="s">
        <v>26</v>
      </c>
      <c r="G26" s="17">
        <f>AVERAGE(G12:G15)</f>
        <v>5.1549999999999999E-2</v>
      </c>
    </row>
    <row r="27" spans="1:10">
      <c r="E27" s="20"/>
      <c r="F27" t="s">
        <v>27</v>
      </c>
      <c r="G27" s="17">
        <f>AVERAGE(G16:G19)</f>
        <v>1.3475000000000001E-2</v>
      </c>
    </row>
    <row r="35" spans="7:8">
      <c r="G35" s="10"/>
    </row>
    <row r="36" spans="7:8">
      <c r="G36" s="10"/>
    </row>
    <row r="37" spans="7:8" ht="57" customHeight="1">
      <c r="G37" s="18"/>
      <c r="H37" s="18"/>
    </row>
    <row r="38" spans="7:8">
      <c r="G38" s="18"/>
      <c r="H38" s="18"/>
    </row>
    <row r="39" spans="7:8" ht="69" customHeight="1">
      <c r="G39" s="18"/>
    </row>
    <row r="40" spans="7:8">
      <c r="G40" s="18"/>
    </row>
    <row r="41" spans="7:8">
      <c r="G41" s="12"/>
      <c r="H41" s="12"/>
    </row>
    <row r="42" spans="7:8">
      <c r="G42" s="11"/>
      <c r="H42" s="11"/>
    </row>
    <row r="43" spans="7:8">
      <c r="G43" s="12"/>
      <c r="H43" s="12"/>
    </row>
    <row r="44" spans="7:8">
      <c r="G44" s="11"/>
      <c r="H44" s="11"/>
    </row>
    <row r="45" spans="7:8">
      <c r="G45" s="12"/>
      <c r="H45" s="12"/>
    </row>
    <row r="46" spans="7:8">
      <c r="G46" s="12"/>
      <c r="H46" s="11"/>
    </row>
    <row r="47" spans="7:8">
      <c r="G47" s="12"/>
      <c r="H47" s="12"/>
    </row>
    <row r="48" spans="7:8">
      <c r="G48" s="12"/>
      <c r="H48" s="11"/>
    </row>
    <row r="49" spans="7:8">
      <c r="G49" s="12"/>
      <c r="H49" s="12"/>
    </row>
    <row r="50" spans="7:8">
      <c r="G50" s="12"/>
      <c r="H50" s="12"/>
    </row>
    <row r="51" spans="7:8">
      <c r="G51" s="10"/>
    </row>
    <row r="53" spans="7:8">
      <c r="G53" s="10"/>
    </row>
    <row r="55" spans="7:8">
      <c r="G55" s="10"/>
    </row>
  </sheetData>
  <mergeCells count="6">
    <mergeCell ref="H37:H38"/>
    <mergeCell ref="G39:G40"/>
    <mergeCell ref="E21:F21"/>
    <mergeCell ref="E22:F22"/>
    <mergeCell ref="E24:E27"/>
    <mergeCell ref="G37:G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2025-01-21T15:08:58Z</dcterms:created>
  <dcterms:modified xsi:type="dcterms:W3CDTF">2026-04-27T19:25:11Z</dcterms:modified>
</cp:coreProperties>
</file>